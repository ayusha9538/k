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tech_M\Ayush_kumar\Nals_Practical\"/>
    </mc:Choice>
  </mc:AlternateContent>
  <xr:revisionPtr revIDLastSave="0" documentId="8_{C2DAAA94-4023-4F73-84E2-6FB8136C79C3}" xr6:coauthVersionLast="47" xr6:coauthVersionMax="47" xr10:uidLastSave="{00000000-0000-0000-0000-000000000000}"/>
  <bookViews>
    <workbookView xWindow="-108" yWindow="-108" windowWidth="23256" windowHeight="13896" xr2:uid="{8CACACCB-23AD-45FD-AC3F-94F52E849125}"/>
  </bookViews>
  <sheets>
    <sheet name=" Student _ Data" sheetId="1" r:id="rId1"/>
    <sheet name="Marks _ Analysis" sheetId="2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3" i="2"/>
  <c r="I3" i="2"/>
  <c r="H3" i="2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M11" i="2" l="1"/>
  <c r="K11" i="2"/>
  <c r="M6" i="2"/>
  <c r="K14" i="2"/>
  <c r="K3" i="2"/>
  <c r="M9" i="2"/>
  <c r="M16" i="2"/>
  <c r="K16" i="2"/>
  <c r="M3" i="2"/>
  <c r="K5" i="1"/>
  <c r="L5" i="1" s="1"/>
  <c r="M7" i="2"/>
  <c r="M12" i="2"/>
  <c r="M17" i="2"/>
  <c r="M8" i="2"/>
  <c r="K13" i="2"/>
  <c r="M15" i="2"/>
  <c r="M13" i="2"/>
  <c r="K9" i="2"/>
  <c r="K4" i="2"/>
  <c r="K8" i="1"/>
  <c r="L8" i="1" s="1"/>
  <c r="M14" i="2"/>
  <c r="K15" i="2"/>
  <c r="M10" i="2"/>
  <c r="K10" i="2"/>
  <c r="K6" i="2"/>
  <c r="M5" i="2"/>
  <c r="K17" i="2"/>
  <c r="M4" i="2"/>
  <c r="K8" i="2"/>
  <c r="K5" i="2"/>
  <c r="K12" i="2"/>
  <c r="K7" i="2"/>
  <c r="K7" i="1"/>
  <c r="K11" i="1"/>
  <c r="K16" i="1"/>
  <c r="K4" i="1"/>
  <c r="K15" i="1"/>
  <c r="K3" i="1"/>
  <c r="K14" i="1"/>
  <c r="K6" i="1"/>
  <c r="K10" i="1"/>
  <c r="K17" i="1"/>
  <c r="K13" i="1"/>
  <c r="K9" i="1"/>
  <c r="K12" i="1"/>
  <c r="A22" i="2" l="1"/>
  <c r="C22" i="2"/>
  <c r="L5" i="2"/>
  <c r="L8" i="2"/>
  <c r="L12" i="1"/>
  <c r="L12" i="2"/>
  <c r="L9" i="1"/>
  <c r="L9" i="2"/>
  <c r="L13" i="1"/>
  <c r="L13" i="2"/>
  <c r="L17" i="1"/>
  <c r="L17" i="2"/>
  <c r="L10" i="1"/>
  <c r="L10" i="2"/>
  <c r="L6" i="1"/>
  <c r="L6" i="2"/>
  <c r="L14" i="1"/>
  <c r="L14" i="2"/>
  <c r="L3" i="1"/>
  <c r="L3" i="2"/>
  <c r="L15" i="1"/>
  <c r="L15" i="2"/>
  <c r="L4" i="1"/>
  <c r="L4" i="2"/>
  <c r="L16" i="1"/>
  <c r="L16" i="2"/>
  <c r="L11" i="1"/>
  <c r="L11" i="2"/>
  <c r="L7" i="1"/>
  <c r="L7" i="2"/>
  <c r="O9" i="1" l="1"/>
  <c r="O8" i="1"/>
</calcChain>
</file>

<file path=xl/sharedStrings.xml><?xml version="1.0" encoding="utf-8"?>
<sst xmlns="http://schemas.openxmlformats.org/spreadsheetml/2006/main" count="188" uniqueCount="80">
  <si>
    <t>Full Name</t>
  </si>
  <si>
    <t>Roll No</t>
  </si>
  <si>
    <t>Class</t>
  </si>
  <si>
    <t>City</t>
  </si>
  <si>
    <t>Maths</t>
  </si>
  <si>
    <t>English</t>
  </si>
  <si>
    <t>Science</t>
  </si>
  <si>
    <t>Abhishek Sharma</t>
  </si>
  <si>
    <t>Sanju Samson</t>
  </si>
  <si>
    <t xml:space="preserve">Ishan Kishan </t>
  </si>
  <si>
    <t>Surya Kumar Yadav</t>
  </si>
  <si>
    <t>Rinku Singh</t>
  </si>
  <si>
    <t>Hardik Panadaya</t>
  </si>
  <si>
    <t>Shivam Dube</t>
  </si>
  <si>
    <t>Axar Patel</t>
  </si>
  <si>
    <t>Kuldeep Yadav</t>
  </si>
  <si>
    <t>Varun Charkarty</t>
  </si>
  <si>
    <t>Jasprit Bumrah</t>
  </si>
  <si>
    <t>Harshit Rana</t>
  </si>
  <si>
    <t>Arshdeep Singh</t>
  </si>
  <si>
    <t>Washington Sundar</t>
  </si>
  <si>
    <t>Hyderbaad</t>
  </si>
  <si>
    <t>Chennai</t>
  </si>
  <si>
    <t>Mumbai</t>
  </si>
  <si>
    <t>Kolkata</t>
  </si>
  <si>
    <t>Delhi</t>
  </si>
  <si>
    <t>Punjab</t>
  </si>
  <si>
    <t>Last Name</t>
  </si>
  <si>
    <t>Abhishek</t>
  </si>
  <si>
    <t>Sharma</t>
  </si>
  <si>
    <t xml:space="preserve">Sanju </t>
  </si>
  <si>
    <t>Samson</t>
  </si>
  <si>
    <t xml:space="preserve">First Name </t>
  </si>
  <si>
    <t>Ishan</t>
  </si>
  <si>
    <t xml:space="preserve">Surya </t>
  </si>
  <si>
    <t>Rinku</t>
  </si>
  <si>
    <t>Hardik</t>
  </si>
  <si>
    <t>Shivam</t>
  </si>
  <si>
    <t>Axar</t>
  </si>
  <si>
    <t>Kuldeep</t>
  </si>
  <si>
    <t>Varun</t>
  </si>
  <si>
    <t>Jasprit</t>
  </si>
  <si>
    <t>Harshit</t>
  </si>
  <si>
    <t>Arshdeep</t>
  </si>
  <si>
    <t>Tilak Verma</t>
  </si>
  <si>
    <t>Tilak</t>
  </si>
  <si>
    <t>Washington</t>
  </si>
  <si>
    <t>Kishan</t>
  </si>
  <si>
    <t>Yadav</t>
  </si>
  <si>
    <t>Singh</t>
  </si>
  <si>
    <t>Panadaya</t>
  </si>
  <si>
    <t>Dube</t>
  </si>
  <si>
    <t>Patel</t>
  </si>
  <si>
    <t>Charkarty</t>
  </si>
  <si>
    <t>Bumrah</t>
  </si>
  <si>
    <t>Rana</t>
  </si>
  <si>
    <t>Verma</t>
  </si>
  <si>
    <t xml:space="preserve"> sundar</t>
  </si>
  <si>
    <t>Total</t>
  </si>
  <si>
    <t>Remark</t>
  </si>
  <si>
    <t>Average</t>
  </si>
  <si>
    <t>max</t>
  </si>
  <si>
    <t>min</t>
  </si>
  <si>
    <t>no of people belong to same city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</si>
  <si>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</si>
  <si>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</si>
  <si>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</si>
  <si>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</si>
  <si>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</si>
  <si>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</si>
  <si>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</si>
  <si>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</si>
  <si>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</si>
  <si>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</si>
  <si>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</si>
  <si>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</si>
  <si>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</si>
  <si>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Btech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</si>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</sst>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2" xfId="0" applyFont="1" applyBorder="1"/>
    <xf numFmtId="0" fontId="0" fillId="2" borderId="3" xfId="0" applyFont="1" applyFill="1" applyBorder="1"/>
    <xf numFmtId="0" fontId="0" fillId="0" borderId="3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'Marks _ Analysis'!$H$2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'Marks _ Analysis'!$H$3:$H$17</c:f>
              <c:numCache>
                <c:formatCode>General</c:formatCode>
                <c:ptCount val="15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34</c:v>
                </c:pt>
                <c:pt idx="4">
                  <c:v>25</c:v>
                </c:pt>
                <c:pt idx="5">
                  <c:v>30</c:v>
                </c:pt>
                <c:pt idx="6">
                  <c:v>30</c:v>
                </c:pt>
                <c:pt idx="7">
                  <c:v>31</c:v>
                </c:pt>
                <c:pt idx="8">
                  <c:v>39</c:v>
                </c:pt>
                <c:pt idx="9">
                  <c:v>27</c:v>
                </c:pt>
                <c:pt idx="10">
                  <c:v>27</c:v>
                </c:pt>
                <c:pt idx="11">
                  <c:v>28</c:v>
                </c:pt>
                <c:pt idx="12">
                  <c:v>24</c:v>
                </c:pt>
                <c:pt idx="13">
                  <c:v>35</c:v>
                </c:pt>
                <c:pt idx="1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3-439F-8C2E-965B1695E2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7288032"/>
        <c:axId val="97287072"/>
      </c:barChart>
      <c:catAx>
        <c:axId val="9728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7072"/>
        <c:crosses val="autoZero"/>
        <c:auto val="1"/>
        <c:lblAlgn val="ctr"/>
        <c:lblOffset val="100"/>
        <c:noMultiLvlLbl val="0"/>
      </c:catAx>
      <c:valAx>
        <c:axId val="972870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728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 vs Fail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833-4AEA-8119-E130745919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833-4AEA-8119-E1307459197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Student _ Data'!$N$8:$N$9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' Student _ Data'!$O$8:$O$9</c:f>
              <c:numCache>
                <c:formatCode>General</c:formatCode>
                <c:ptCount val="2"/>
                <c:pt idx="0">
                  <c:v>12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33-4AEA-8119-E1307459197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8</xdr:col>
      <xdr:colOff>304800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893417-4173-47A5-BAD3-785649557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198120</xdr:colOff>
      <xdr:row>9</xdr:row>
      <xdr:rowOff>152400</xdr:rowOff>
    </xdr:from>
    <xdr:to>
      <xdr:col>17</xdr:col>
      <xdr:colOff>502920</xdr:colOff>
      <xdr:row>24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2D2938-53A5-4245-B1C8-A93670AEE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ED2924-7AFC-4666-A6D1-988A7ADABE98}" name="Table3" displayName="Table3" ref="A1:L17" totalsRowShown="0" headerRowDxfId="0" dataDxfId="1" tableBorderDxfId="14">
  <autoFilter ref="A1:L17" xr:uid="{ADED2924-7AFC-4666-A6D1-988A7ADABE98}"/>
  <tableColumns count="12">
    <tableColumn id="1" xr3:uid="{84C8C780-1A1F-4B00-9D04-D0B7595B8F12}" name="Column1" dataDxfId="13"/>
    <tableColumn id="2" xr3:uid="{E805084D-AC6D-4654-93EF-BF355BAE254B}" name="Column2" dataDxfId="12"/>
    <tableColumn id="3" xr3:uid="{F84D57AE-A1CC-475F-9769-4D03CD6AC356}" name="Column3" dataDxfId="11"/>
    <tableColumn id="4" xr3:uid="{3340B99B-E7AF-459E-9E55-494D76F5189A}" name="Column4" dataDxfId="10"/>
    <tableColumn id="5" xr3:uid="{1CE98B59-8171-4932-A5A4-41850B6B7DD4}" name="Column5" dataDxfId="9"/>
    <tableColumn id="6" xr3:uid="{9BCFC26A-D0E8-4729-8400-D452760E941A}" name="Column6" dataDxfId="8"/>
    <tableColumn id="7" xr3:uid="{E2925FA3-9C57-47C8-90DF-DBADB6193DE5}" name="Column7" dataDxfId="7"/>
    <tableColumn id="8" xr3:uid="{C2A245F4-DCFF-45D9-8607-529C7243F639}" name="Column8" dataDxfId="6">
      <calculatedColumnFormula>RANDBETWEEN(20,40)</calculatedColumnFormula>
    </tableColumn>
    <tableColumn id="9" xr3:uid="{FA57BB33-8531-4919-9463-0D4995623760}" name="Column9" dataDxfId="5">
      <calculatedColumnFormula>RANDBETWEEN(50,100)</calculatedColumnFormula>
    </tableColumn>
    <tableColumn id="10" xr3:uid="{A0995B22-B088-47D5-9CD5-CC41C7AD5C4A}" name="Column10" dataDxfId="4">
      <calculatedColumnFormula>RANDBETWEEN(0, 100)</calculatedColumnFormula>
    </tableColumn>
    <tableColumn id="11" xr3:uid="{1AAA167C-3727-4C3B-A062-65DB9E4AF3C4}" name="Column11" dataDxfId="3">
      <calculatedColumnFormula>SUM(H2:J2)</calculatedColumnFormula>
    </tableColumn>
    <tableColumn id="12" xr3:uid="{ADEA074C-2C8A-4BDC-9A48-E6AC053AA8BE}" name="Column12" dataDxfId="2">
      <calculatedColumnFormula>IF(' Student _ Data'!K2&gt;120,"Pass","Fail")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075DF6-3B8C-4C9F-8B86-06A9E9DCA07A}" name="Table2" displayName="Table2" ref="A1:M17" totalsRowShown="0">
  <autoFilter ref="A1:M17" xr:uid="{93075DF6-3B8C-4C9F-8B86-06A9E9DCA07A}"/>
  <tableColumns count="13">
    <tableColumn id="1" xr3:uid="{ED8158C3-FDDE-4D60-B6D8-F34D3476F809}" name="Column1"/>
    <tableColumn id="2" xr3:uid="{8A250737-4D63-4C1E-9539-67833BF78A66}" name="Column2"/>
    <tableColumn id="3" xr3:uid="{74411BE8-9AE6-4423-9902-BBCF1F9648A3}" name="Column3"/>
    <tableColumn id="4" xr3:uid="{3F0B3F18-E51F-4E52-B00F-4690C6ED9B4F}" name="Column4"/>
    <tableColumn id="5" xr3:uid="{8D6B9B53-EFC4-4644-BA7D-26C03B58E00E}" name="Column5"/>
    <tableColumn id="6" xr3:uid="{8DA11D93-2B29-484E-BAD2-21C4AE7E21BA}" name="Column6"/>
    <tableColumn id="7" xr3:uid="{C74E557C-43E4-4D35-852C-5561D5BAEF7D}" name="Column7"/>
    <tableColumn id="8" xr3:uid="{43504751-AA44-4FC5-A27F-070BA267FD67}" name="Column8"/>
    <tableColumn id="9" xr3:uid="{C2A16419-05E2-4DE8-B436-921C2FCDC01D}" name="Column9"/>
    <tableColumn id="10" xr3:uid="{D359E8F2-FEDC-4AED-BB21-9C78553172F5}" name="Column10"/>
    <tableColumn id="11" xr3:uid="{2AE8216E-006C-4B88-B4D3-CEEE983F5F11}" name="Column11"/>
    <tableColumn id="12" xr3:uid="{439D1235-3D15-4E0C-BB75-43E42D1EBC13}" name="Column12"/>
    <tableColumn id="13" xr3:uid="{9D2CAEED-C0D9-435A-BD6D-53B2465B1AA3}" name="Column13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7135-9303-49C3-9660-BBE41B297281}">
  <dimension ref="A1:P17"/>
  <sheetViews>
    <sheetView tabSelected="1" workbookViewId="0">
      <selection activeCell="L6" sqref="L6"/>
    </sheetView>
  </sheetViews>
  <sheetFormatPr defaultRowHeight="14.4" x14ac:dyDescent="0.3"/>
  <cols>
    <col min="1" max="1" width="12.5546875" customWidth="1"/>
    <col min="2" max="2" width="13.88671875" customWidth="1"/>
    <col min="3" max="3" width="14.109375" customWidth="1"/>
    <col min="4" max="4" width="13.88671875" customWidth="1"/>
    <col min="5" max="5" width="12.44140625" customWidth="1"/>
    <col min="6" max="6" width="13.44140625" customWidth="1"/>
    <col min="7" max="7" width="13.33203125" customWidth="1"/>
    <col min="8" max="9" width="12.77734375" customWidth="1"/>
    <col min="10" max="10" width="14.88671875" customWidth="1"/>
    <col min="11" max="11" width="15.44140625" customWidth="1"/>
    <col min="12" max="12" width="15.33203125" customWidth="1"/>
  </cols>
  <sheetData>
    <row r="1" spans="1:16" ht="15.6" x14ac:dyDescent="0.3">
      <c r="A1" s="11" t="s">
        <v>64</v>
      </c>
      <c r="B1" s="11" t="s">
        <v>65</v>
      </c>
      <c r="C1" s="11" t="s">
        <v>66</v>
      </c>
      <c r="D1" s="11" t="s">
        <v>67</v>
      </c>
      <c r="E1" s="11" t="s">
        <v>68</v>
      </c>
      <c r="F1" s="11" t="s">
        <v>69</v>
      </c>
      <c r="G1" s="11" t="s">
        <v>70</v>
      </c>
      <c r="H1" s="11" t="s">
        <v>71</v>
      </c>
      <c r="I1" s="11" t="s">
        <v>72</v>
      </c>
      <c r="J1" s="11" t="s">
        <v>73</v>
      </c>
      <c r="K1" s="11" t="s">
        <v>74</v>
      </c>
      <c r="L1" s="11" t="s">
        <v>75</v>
      </c>
    </row>
    <row r="2" spans="1:16" ht="15.6" x14ac:dyDescent="0.3">
      <c r="A2" s="9" t="s">
        <v>0</v>
      </c>
      <c r="B2" s="9"/>
      <c r="C2" s="9" t="s">
        <v>32</v>
      </c>
      <c r="D2" s="9" t="s">
        <v>27</v>
      </c>
      <c r="E2" s="9" t="s">
        <v>2</v>
      </c>
      <c r="F2" s="9" t="s">
        <v>1</v>
      </c>
      <c r="G2" s="9" t="s">
        <v>3</v>
      </c>
      <c r="H2" s="9" t="s">
        <v>4</v>
      </c>
      <c r="I2" s="9" t="s">
        <v>5</v>
      </c>
      <c r="J2" s="9" t="s">
        <v>6</v>
      </c>
      <c r="K2" s="9" t="s">
        <v>58</v>
      </c>
      <c r="L2" s="9" t="s">
        <v>59</v>
      </c>
    </row>
    <row r="3" spans="1:16" x14ac:dyDescent="0.3">
      <c r="A3" s="5" t="s">
        <v>7</v>
      </c>
      <c r="B3" s="5"/>
      <c r="C3" s="5" t="s">
        <v>28</v>
      </c>
      <c r="D3" s="5" t="s">
        <v>29</v>
      </c>
      <c r="E3" s="5" t="s">
        <v>77</v>
      </c>
      <c r="F3" s="5">
        <v>1</v>
      </c>
      <c r="G3" s="5" t="s">
        <v>21</v>
      </c>
      <c r="H3" s="5">
        <f t="shared" ref="H3:H17" ca="1" si="0">RANDBETWEEN(20,40)</f>
        <v>22</v>
      </c>
      <c r="I3" s="5">
        <f t="shared" ref="I3:I17" ca="1" si="1">RANDBETWEEN(50,100)</f>
        <v>67</v>
      </c>
      <c r="J3" s="5">
        <f t="shared" ref="J3:J17" ca="1" si="2">RANDBETWEEN(0, 100)</f>
        <v>55</v>
      </c>
      <c r="K3" s="5">
        <f t="shared" ref="K3:K17" ca="1" si="3">SUM(H3:J3)</f>
        <v>144</v>
      </c>
      <c r="L3" s="5" t="str">
        <f ca="1">IF(' Student _ Data'!K3&gt;120,"Pass","Fail")</f>
        <v>Pass</v>
      </c>
    </row>
    <row r="4" spans="1:16" x14ac:dyDescent="0.3">
      <c r="A4" s="4" t="s">
        <v>8</v>
      </c>
      <c r="B4" s="4"/>
      <c r="C4" s="4" t="s">
        <v>30</v>
      </c>
      <c r="D4" s="4" t="s">
        <v>31</v>
      </c>
      <c r="E4" s="5" t="s">
        <v>77</v>
      </c>
      <c r="F4" s="4">
        <v>2</v>
      </c>
      <c r="G4" s="4" t="s">
        <v>22</v>
      </c>
      <c r="H4" s="4">
        <f t="shared" ca="1" si="0"/>
        <v>33</v>
      </c>
      <c r="I4" s="4">
        <f t="shared" ca="1" si="1"/>
        <v>83</v>
      </c>
      <c r="J4" s="4">
        <f t="shared" ca="1" si="2"/>
        <v>71</v>
      </c>
      <c r="K4" s="4">
        <f t="shared" ca="1" si="3"/>
        <v>187</v>
      </c>
      <c r="L4" s="4" t="str">
        <f ca="1">IF(' Student _ Data'!K4&gt;120,"Pass","Fail")</f>
        <v>Pass</v>
      </c>
    </row>
    <row r="5" spans="1:16" x14ac:dyDescent="0.3">
      <c r="A5" s="5" t="s">
        <v>9</v>
      </c>
      <c r="B5" s="5"/>
      <c r="C5" s="5" t="s">
        <v>33</v>
      </c>
      <c r="D5" s="5" t="s">
        <v>47</v>
      </c>
      <c r="E5" s="5" t="s">
        <v>77</v>
      </c>
      <c r="F5" s="5">
        <v>3</v>
      </c>
      <c r="G5" s="5" t="s">
        <v>21</v>
      </c>
      <c r="H5" s="5">
        <f t="shared" ca="1" si="0"/>
        <v>22</v>
      </c>
      <c r="I5" s="5">
        <f t="shared" ca="1" si="1"/>
        <v>71</v>
      </c>
      <c r="J5" s="5">
        <f t="shared" ca="1" si="2"/>
        <v>96</v>
      </c>
      <c r="K5" s="5">
        <f t="shared" ca="1" si="3"/>
        <v>189</v>
      </c>
      <c r="L5" s="5" t="str">
        <f ca="1">IF(' Student _ Data'!K5&gt;120,"Pass","Fail")</f>
        <v>Pass</v>
      </c>
      <c r="N5" s="6" t="s">
        <v>63</v>
      </c>
      <c r="O5" s="6"/>
      <c r="P5" s="6"/>
    </row>
    <row r="6" spans="1:16" x14ac:dyDescent="0.3">
      <c r="A6" s="4" t="s">
        <v>10</v>
      </c>
      <c r="B6" s="4"/>
      <c r="C6" s="4" t="s">
        <v>34</v>
      </c>
      <c r="D6" s="4" t="s">
        <v>48</v>
      </c>
      <c r="E6" s="5" t="s">
        <v>77</v>
      </c>
      <c r="F6" s="4">
        <v>4</v>
      </c>
      <c r="G6" s="4" t="s">
        <v>23</v>
      </c>
      <c r="H6" s="4">
        <f t="shared" ca="1" si="0"/>
        <v>28</v>
      </c>
      <c r="I6" s="4">
        <f t="shared" ca="1" si="1"/>
        <v>53</v>
      </c>
      <c r="J6" s="4">
        <f t="shared" ca="1" si="2"/>
        <v>34</v>
      </c>
      <c r="K6" s="4">
        <f t="shared" ca="1" si="3"/>
        <v>115</v>
      </c>
      <c r="L6" s="4" t="str">
        <f ca="1">IF(' Student _ Data'!K6&gt;120,"Pass","Fail")</f>
        <v>Fail</v>
      </c>
      <c r="N6" s="7">
        <f>COUNTIF(G3:G17, "Kolkata")</f>
        <v>3</v>
      </c>
      <c r="O6" s="7"/>
      <c r="P6" s="7"/>
    </row>
    <row r="7" spans="1:16" x14ac:dyDescent="0.3">
      <c r="A7" s="10" t="s">
        <v>11</v>
      </c>
      <c r="B7" s="10"/>
      <c r="C7" s="5" t="s">
        <v>35</v>
      </c>
      <c r="D7" s="5" t="s">
        <v>49</v>
      </c>
      <c r="E7" s="5" t="s">
        <v>77</v>
      </c>
      <c r="F7" s="5">
        <v>5</v>
      </c>
      <c r="G7" s="5" t="s">
        <v>24</v>
      </c>
      <c r="H7" s="5">
        <f t="shared" ca="1" si="0"/>
        <v>32</v>
      </c>
      <c r="I7" s="5">
        <f t="shared" ca="1" si="1"/>
        <v>52</v>
      </c>
      <c r="J7" s="5">
        <f t="shared" ca="1" si="2"/>
        <v>10</v>
      </c>
      <c r="K7" s="5">
        <f t="shared" ca="1" si="3"/>
        <v>94</v>
      </c>
      <c r="L7" s="5" t="str">
        <f ca="1">IF(' Student _ Data'!K7&gt;120,"Pass","Fail")</f>
        <v>Fail</v>
      </c>
    </row>
    <row r="8" spans="1:16" x14ac:dyDescent="0.3">
      <c r="A8" s="4" t="s">
        <v>12</v>
      </c>
      <c r="B8" s="4"/>
      <c r="C8" s="4" t="s">
        <v>36</v>
      </c>
      <c r="D8" s="4" t="s">
        <v>50</v>
      </c>
      <c r="E8" s="5" t="s">
        <v>77</v>
      </c>
      <c r="F8" s="4">
        <v>6</v>
      </c>
      <c r="G8" s="4" t="s">
        <v>23</v>
      </c>
      <c r="H8" s="4">
        <f t="shared" ca="1" si="0"/>
        <v>29</v>
      </c>
      <c r="I8" s="4">
        <f t="shared" ca="1" si="1"/>
        <v>96</v>
      </c>
      <c r="J8" s="4">
        <f t="shared" ca="1" si="2"/>
        <v>28</v>
      </c>
      <c r="K8" s="4">
        <f t="shared" ca="1" si="3"/>
        <v>153</v>
      </c>
      <c r="L8" s="4" t="str">
        <f ca="1">IF(' Student _ Data'!K8&gt;120,"Pass","Fail")</f>
        <v>Pass</v>
      </c>
      <c r="N8" s="6" t="s">
        <v>78</v>
      </c>
      <c r="O8" s="6">
        <f ca="1">COUNTIF(L3:L17,"pass")</f>
        <v>12</v>
      </c>
    </row>
    <row r="9" spans="1:16" x14ac:dyDescent="0.3">
      <c r="A9" s="5" t="s">
        <v>13</v>
      </c>
      <c r="B9" s="5"/>
      <c r="C9" s="5" t="s">
        <v>37</v>
      </c>
      <c r="D9" s="5" t="s">
        <v>51</v>
      </c>
      <c r="E9" s="5" t="s">
        <v>77</v>
      </c>
      <c r="F9" s="5">
        <v>7</v>
      </c>
      <c r="G9" s="5" t="s">
        <v>22</v>
      </c>
      <c r="H9" s="5">
        <f t="shared" ca="1" si="0"/>
        <v>28</v>
      </c>
      <c r="I9" s="5">
        <f t="shared" ca="1" si="1"/>
        <v>96</v>
      </c>
      <c r="J9" s="5">
        <f t="shared" ca="1" si="2"/>
        <v>37</v>
      </c>
      <c r="K9" s="5">
        <f t="shared" ca="1" si="3"/>
        <v>161</v>
      </c>
      <c r="L9" s="5" t="str">
        <f ca="1">IF(' Student _ Data'!K9&gt;120,"Pass","Fail")</f>
        <v>Pass</v>
      </c>
      <c r="N9" s="6" t="s">
        <v>79</v>
      </c>
      <c r="O9" s="6">
        <f ca="1">COUNTIF(L4:L18,"pass")</f>
        <v>11</v>
      </c>
    </row>
    <row r="10" spans="1:16" x14ac:dyDescent="0.3">
      <c r="A10" s="4" t="s">
        <v>14</v>
      </c>
      <c r="B10" s="4"/>
      <c r="C10" s="4" t="s">
        <v>38</v>
      </c>
      <c r="D10" s="4" t="s">
        <v>52</v>
      </c>
      <c r="E10" s="5" t="s">
        <v>77</v>
      </c>
      <c r="F10" s="4">
        <v>8</v>
      </c>
      <c r="G10" s="4" t="s">
        <v>25</v>
      </c>
      <c r="H10" s="4">
        <f t="shared" ca="1" si="0"/>
        <v>40</v>
      </c>
      <c r="I10" s="4">
        <f t="shared" ca="1" si="1"/>
        <v>50</v>
      </c>
      <c r="J10" s="4">
        <f t="shared" ca="1" si="2"/>
        <v>100</v>
      </c>
      <c r="K10" s="4">
        <f t="shared" ca="1" si="3"/>
        <v>190</v>
      </c>
      <c r="L10" s="4" t="str">
        <f ca="1">IF(' Student _ Data'!K10&gt;120,"Pass","Fail")</f>
        <v>Pass</v>
      </c>
    </row>
    <row r="11" spans="1:16" x14ac:dyDescent="0.3">
      <c r="A11" s="5" t="s">
        <v>15</v>
      </c>
      <c r="B11" s="5"/>
      <c r="C11" s="5" t="s">
        <v>39</v>
      </c>
      <c r="D11" s="5" t="s">
        <v>48</v>
      </c>
      <c r="E11" s="5" t="s">
        <v>77</v>
      </c>
      <c r="F11" s="5">
        <v>9</v>
      </c>
      <c r="G11" s="5" t="s">
        <v>25</v>
      </c>
      <c r="H11" s="5">
        <f t="shared" ca="1" si="0"/>
        <v>33</v>
      </c>
      <c r="I11" s="5">
        <f t="shared" ca="1" si="1"/>
        <v>57</v>
      </c>
      <c r="J11" s="5">
        <f t="shared" ca="1" si="2"/>
        <v>45</v>
      </c>
      <c r="K11" s="5">
        <f t="shared" ca="1" si="3"/>
        <v>135</v>
      </c>
      <c r="L11" s="5" t="str">
        <f ca="1">IF(' Student _ Data'!K11&gt;120,"Pass","Fail")</f>
        <v>Pass</v>
      </c>
    </row>
    <row r="12" spans="1:16" x14ac:dyDescent="0.3">
      <c r="A12" s="4" t="s">
        <v>16</v>
      </c>
      <c r="B12" s="4"/>
      <c r="C12" s="4" t="s">
        <v>40</v>
      </c>
      <c r="D12" s="4" t="s">
        <v>53</v>
      </c>
      <c r="E12" s="5" t="s">
        <v>77</v>
      </c>
      <c r="F12" s="4">
        <v>10</v>
      </c>
      <c r="G12" s="4" t="s">
        <v>24</v>
      </c>
      <c r="H12" s="4">
        <f t="shared" ca="1" si="0"/>
        <v>39</v>
      </c>
      <c r="I12" s="4">
        <f t="shared" ca="1" si="1"/>
        <v>57</v>
      </c>
      <c r="J12" s="4">
        <f t="shared" ca="1" si="2"/>
        <v>55</v>
      </c>
      <c r="K12" s="4">
        <f t="shared" ca="1" si="3"/>
        <v>151</v>
      </c>
      <c r="L12" s="4" t="str">
        <f ca="1">IF(' Student _ Data'!K12&gt;120,"Pass","Fail")</f>
        <v>Pass</v>
      </c>
    </row>
    <row r="13" spans="1:16" x14ac:dyDescent="0.3">
      <c r="A13" s="5" t="s">
        <v>17</v>
      </c>
      <c r="B13" s="5"/>
      <c r="C13" s="5" t="s">
        <v>41</v>
      </c>
      <c r="D13" s="5" t="s">
        <v>54</v>
      </c>
      <c r="E13" s="5" t="s">
        <v>77</v>
      </c>
      <c r="F13" s="5">
        <v>11</v>
      </c>
      <c r="G13" s="5" t="s">
        <v>23</v>
      </c>
      <c r="H13" s="5">
        <f t="shared" ca="1" si="0"/>
        <v>26</v>
      </c>
      <c r="I13" s="5">
        <f t="shared" ca="1" si="1"/>
        <v>70</v>
      </c>
      <c r="J13" s="5">
        <f t="shared" ca="1" si="2"/>
        <v>25</v>
      </c>
      <c r="K13" s="5">
        <f t="shared" ca="1" si="3"/>
        <v>121</v>
      </c>
      <c r="L13" s="5" t="str">
        <f ca="1">IF(' Student _ Data'!K13&gt;120,"Pass","Fail")</f>
        <v>Pass</v>
      </c>
    </row>
    <row r="14" spans="1:16" x14ac:dyDescent="0.3">
      <c r="A14" s="4" t="s">
        <v>18</v>
      </c>
      <c r="B14" s="4"/>
      <c r="C14" s="4" t="s">
        <v>42</v>
      </c>
      <c r="D14" s="4" t="s">
        <v>55</v>
      </c>
      <c r="E14" s="5" t="s">
        <v>77</v>
      </c>
      <c r="F14" s="4">
        <v>12</v>
      </c>
      <c r="G14" s="4" t="s">
        <v>24</v>
      </c>
      <c r="H14" s="4">
        <f t="shared" ca="1" si="0"/>
        <v>24</v>
      </c>
      <c r="I14" s="4">
        <f t="shared" ca="1" si="1"/>
        <v>52</v>
      </c>
      <c r="J14" s="4">
        <f t="shared" ca="1" si="2"/>
        <v>83</v>
      </c>
      <c r="K14" s="4">
        <f t="shared" ca="1" si="3"/>
        <v>159</v>
      </c>
      <c r="L14" s="4" t="str">
        <f ca="1">IF(' Student _ Data'!K14&gt;120,"Pass","Fail")</f>
        <v>Pass</v>
      </c>
    </row>
    <row r="15" spans="1:16" x14ac:dyDescent="0.3">
      <c r="A15" s="5" t="s">
        <v>19</v>
      </c>
      <c r="B15" s="5"/>
      <c r="C15" s="5" t="s">
        <v>43</v>
      </c>
      <c r="D15" s="5" t="s">
        <v>49</v>
      </c>
      <c r="E15" s="5" t="s">
        <v>77</v>
      </c>
      <c r="F15" s="5">
        <v>13</v>
      </c>
      <c r="G15" s="5" t="s">
        <v>26</v>
      </c>
      <c r="H15" s="5">
        <f t="shared" ca="1" si="0"/>
        <v>32</v>
      </c>
      <c r="I15" s="5">
        <f t="shared" ca="1" si="1"/>
        <v>69</v>
      </c>
      <c r="J15" s="5">
        <f t="shared" ca="1" si="2"/>
        <v>62</v>
      </c>
      <c r="K15" s="5">
        <f t="shared" ca="1" si="3"/>
        <v>163</v>
      </c>
      <c r="L15" s="5" t="str">
        <f ca="1">IF(' Student _ Data'!K15&gt;120,"Pass","Fail")</f>
        <v>Pass</v>
      </c>
    </row>
    <row r="16" spans="1:16" x14ac:dyDescent="0.3">
      <c r="A16" s="4" t="s">
        <v>44</v>
      </c>
      <c r="B16" s="4"/>
      <c r="C16" s="4" t="s">
        <v>45</v>
      </c>
      <c r="D16" s="4" t="s">
        <v>56</v>
      </c>
      <c r="E16" s="5" t="s">
        <v>77</v>
      </c>
      <c r="F16" s="4">
        <v>14</v>
      </c>
      <c r="G16" s="4" t="s">
        <v>23</v>
      </c>
      <c r="H16" s="4">
        <f t="shared" ca="1" si="0"/>
        <v>22</v>
      </c>
      <c r="I16" s="4">
        <f t="shared" ca="1" si="1"/>
        <v>84</v>
      </c>
      <c r="J16" s="4">
        <f t="shared" ca="1" si="2"/>
        <v>88</v>
      </c>
      <c r="K16" s="4">
        <f t="shared" ca="1" si="3"/>
        <v>194</v>
      </c>
      <c r="L16" s="4" t="str">
        <f ca="1">IF(' Student _ Data'!K16&gt;120,"Pass","Fail")</f>
        <v>Pass</v>
      </c>
    </row>
    <row r="17" spans="1:12" x14ac:dyDescent="0.3">
      <c r="A17" s="3" t="s">
        <v>20</v>
      </c>
      <c r="B17" s="3"/>
      <c r="C17" s="3" t="s">
        <v>46</v>
      </c>
      <c r="D17" s="3" t="s">
        <v>57</v>
      </c>
      <c r="E17" s="5" t="s">
        <v>77</v>
      </c>
      <c r="F17" s="3">
        <v>15</v>
      </c>
      <c r="G17" s="3" t="s">
        <v>22</v>
      </c>
      <c r="H17" s="3">
        <f t="shared" ca="1" si="0"/>
        <v>38</v>
      </c>
      <c r="I17" s="3">
        <f t="shared" ca="1" si="1"/>
        <v>69</v>
      </c>
      <c r="J17" s="3">
        <f t="shared" ca="1" si="2"/>
        <v>1</v>
      </c>
      <c r="K17" s="3">
        <f t="shared" ca="1" si="3"/>
        <v>108</v>
      </c>
      <c r="L17" s="3" t="str">
        <f ca="1">IF(' Student _ Data'!K17&gt;120,"Pass","Fail")</f>
        <v>Fail</v>
      </c>
    </row>
  </sheetData>
  <mergeCells count="1">
    <mergeCell ref="N6:P6"/>
  </mergeCells>
  <phoneticPr fontId="1" type="noConversion"/>
  <conditionalFormatting sqref="H3:J17">
    <cfRule type="cellIs" dxfId="16" priority="1" operator="lessThan">
      <formula>40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3E52-8712-4FA8-A467-DE93A7FF6839}">
  <dimension ref="A1:O22"/>
  <sheetViews>
    <sheetView workbookViewId="0">
      <selection activeCell="B32" sqref="B32"/>
    </sheetView>
  </sheetViews>
  <sheetFormatPr defaultRowHeight="14.4" x14ac:dyDescent="0.3"/>
  <cols>
    <col min="1" max="9" width="10.33203125" customWidth="1"/>
    <col min="10" max="12" width="11.33203125" customWidth="1"/>
    <col min="13" max="13" width="11.33203125" style="2" customWidth="1"/>
  </cols>
  <sheetData>
    <row r="1" spans="1:15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s="2" t="s">
        <v>76</v>
      </c>
    </row>
    <row r="2" spans="1:15" x14ac:dyDescent="0.3">
      <c r="A2" t="s">
        <v>0</v>
      </c>
      <c r="C2" t="s">
        <v>32</v>
      </c>
      <c r="D2" t="s">
        <v>27</v>
      </c>
      <c r="E2" t="s">
        <v>2</v>
      </c>
      <c r="F2" t="s">
        <v>1</v>
      </c>
      <c r="G2" t="s">
        <v>3</v>
      </c>
      <c r="H2" t="s">
        <v>4</v>
      </c>
      <c r="I2" t="s">
        <v>5</v>
      </c>
      <c r="J2" t="s">
        <v>6</v>
      </c>
      <c r="K2" t="s">
        <v>58</v>
      </c>
      <c r="L2" t="s">
        <v>59</v>
      </c>
      <c r="M2" s="2" t="s">
        <v>60</v>
      </c>
    </row>
    <row r="3" spans="1:15" x14ac:dyDescent="0.3">
      <c r="A3" t="s">
        <v>7</v>
      </c>
      <c r="C3" t="s">
        <v>28</v>
      </c>
      <c r="D3" t="s">
        <v>29</v>
      </c>
      <c r="E3">
        <v>9</v>
      </c>
      <c r="F3">
        <v>1</v>
      </c>
      <c r="G3" t="s">
        <v>21</v>
      </c>
      <c r="H3">
        <f t="shared" ref="H3:H17" ca="1" si="0">RANDBETWEEN(20,40)</f>
        <v>35</v>
      </c>
      <c r="I3">
        <f t="shared" ref="I3:I17" ca="1" si="1">RANDBETWEEN(50,100)</f>
        <v>87</v>
      </c>
      <c r="J3">
        <f t="shared" ref="J3:J17" ca="1" si="2">RANDBETWEEN(0, 100)</f>
        <v>8</v>
      </c>
      <c r="K3">
        <f t="shared" ref="K3:K17" ca="1" si="3">SUM(H3:J3)</f>
        <v>130</v>
      </c>
      <c r="L3" t="str">
        <f ca="1">IF(' Student _ Data'!K3&gt;120,"Pass","Fail")</f>
        <v>Pass</v>
      </c>
      <c r="M3" s="2">
        <f ca="1">AVERAGE(H3:J3)</f>
        <v>43.333333333333336</v>
      </c>
    </row>
    <row r="4" spans="1:15" x14ac:dyDescent="0.3">
      <c r="A4" t="s">
        <v>8</v>
      </c>
      <c r="C4" t="s">
        <v>30</v>
      </c>
      <c r="D4" t="s">
        <v>31</v>
      </c>
      <c r="E4">
        <v>9</v>
      </c>
      <c r="F4">
        <v>2</v>
      </c>
      <c r="G4" t="s">
        <v>22</v>
      </c>
      <c r="H4">
        <f t="shared" ca="1" si="0"/>
        <v>35</v>
      </c>
      <c r="I4">
        <f t="shared" ca="1" si="1"/>
        <v>67</v>
      </c>
      <c r="J4">
        <f t="shared" ca="1" si="2"/>
        <v>53</v>
      </c>
      <c r="K4">
        <f t="shared" ca="1" si="3"/>
        <v>155</v>
      </c>
      <c r="L4" t="str">
        <f ca="1">IF(' Student _ Data'!K4&gt;120,"Pass","Fail")</f>
        <v>Pass</v>
      </c>
      <c r="M4" s="2">
        <f t="shared" ref="M4:M17" ca="1" si="4">AVERAGE(H3:J4)</f>
        <v>47.5</v>
      </c>
    </row>
    <row r="5" spans="1:15" x14ac:dyDescent="0.3">
      <c r="A5" t="s">
        <v>9</v>
      </c>
      <c r="C5" t="s">
        <v>33</v>
      </c>
      <c r="D5" t="s">
        <v>47</v>
      </c>
      <c r="E5">
        <v>9</v>
      </c>
      <c r="F5">
        <v>3</v>
      </c>
      <c r="G5" t="s">
        <v>21</v>
      </c>
      <c r="H5">
        <f t="shared" ca="1" si="0"/>
        <v>35</v>
      </c>
      <c r="I5">
        <f t="shared" ca="1" si="1"/>
        <v>69</v>
      </c>
      <c r="J5">
        <f t="shared" ca="1" si="2"/>
        <v>73</v>
      </c>
      <c r="K5">
        <f t="shared" ca="1" si="3"/>
        <v>177</v>
      </c>
      <c r="L5" t="str">
        <f ca="1">IF(' Student _ Data'!K5&gt;120,"Pass","Fail")</f>
        <v>Pass</v>
      </c>
      <c r="M5" s="2">
        <f t="shared" ca="1" si="4"/>
        <v>55.333333333333336</v>
      </c>
    </row>
    <row r="6" spans="1:15" x14ac:dyDescent="0.3">
      <c r="A6" t="s">
        <v>10</v>
      </c>
      <c r="C6" t="s">
        <v>34</v>
      </c>
      <c r="D6" t="s">
        <v>48</v>
      </c>
      <c r="E6">
        <v>9</v>
      </c>
      <c r="F6">
        <v>4</v>
      </c>
      <c r="G6" t="s">
        <v>23</v>
      </c>
      <c r="H6">
        <f t="shared" ca="1" si="0"/>
        <v>34</v>
      </c>
      <c r="I6">
        <f t="shared" ca="1" si="1"/>
        <v>77</v>
      </c>
      <c r="J6">
        <f t="shared" ca="1" si="2"/>
        <v>22</v>
      </c>
      <c r="K6">
        <f t="shared" ca="1" si="3"/>
        <v>133</v>
      </c>
      <c r="L6" t="str">
        <f ca="1">IF(' Student _ Data'!K6&gt;120,"Pass","Fail")</f>
        <v>Fail</v>
      </c>
      <c r="M6" s="2">
        <f t="shared" ca="1" si="4"/>
        <v>51.666666666666664</v>
      </c>
    </row>
    <row r="7" spans="1:15" x14ac:dyDescent="0.3">
      <c r="A7" t="s">
        <v>11</v>
      </c>
      <c r="C7" t="s">
        <v>35</v>
      </c>
      <c r="D7" t="s">
        <v>49</v>
      </c>
      <c r="E7">
        <v>9</v>
      </c>
      <c r="F7">
        <v>5</v>
      </c>
      <c r="G7" t="s">
        <v>24</v>
      </c>
      <c r="H7">
        <f t="shared" ca="1" si="0"/>
        <v>25</v>
      </c>
      <c r="I7">
        <f t="shared" ca="1" si="1"/>
        <v>56</v>
      </c>
      <c r="J7">
        <f t="shared" ca="1" si="2"/>
        <v>86</v>
      </c>
      <c r="K7">
        <f t="shared" ca="1" si="3"/>
        <v>167</v>
      </c>
      <c r="L7" t="str">
        <f ca="1">IF(' Student _ Data'!K7&gt;120,"Pass","Fail")</f>
        <v>Fail</v>
      </c>
      <c r="M7" s="2">
        <f t="shared" ca="1" si="4"/>
        <v>50</v>
      </c>
    </row>
    <row r="8" spans="1:15" x14ac:dyDescent="0.3">
      <c r="A8" t="s">
        <v>12</v>
      </c>
      <c r="C8" t="s">
        <v>36</v>
      </c>
      <c r="D8" t="s">
        <v>50</v>
      </c>
      <c r="E8">
        <v>9</v>
      </c>
      <c r="F8">
        <v>6</v>
      </c>
      <c r="G8" t="s">
        <v>23</v>
      </c>
      <c r="H8">
        <f t="shared" ca="1" si="0"/>
        <v>30</v>
      </c>
      <c r="I8">
        <f t="shared" ca="1" si="1"/>
        <v>82</v>
      </c>
      <c r="J8">
        <f t="shared" ca="1" si="2"/>
        <v>27</v>
      </c>
      <c r="K8">
        <f t="shared" ca="1" si="3"/>
        <v>139</v>
      </c>
      <c r="L8" t="str">
        <f ca="1">IF(' Student _ Data'!K8&gt;120,"Pass","Fail")</f>
        <v>Pass</v>
      </c>
      <c r="M8" s="2">
        <f t="shared" ca="1" si="4"/>
        <v>51</v>
      </c>
    </row>
    <row r="9" spans="1:15" x14ac:dyDescent="0.3">
      <c r="A9" t="s">
        <v>13</v>
      </c>
      <c r="C9" t="s">
        <v>37</v>
      </c>
      <c r="D9" t="s">
        <v>51</v>
      </c>
      <c r="E9">
        <v>9</v>
      </c>
      <c r="F9">
        <v>7</v>
      </c>
      <c r="G9" t="s">
        <v>22</v>
      </c>
      <c r="H9">
        <f t="shared" ca="1" si="0"/>
        <v>30</v>
      </c>
      <c r="I9">
        <f t="shared" ca="1" si="1"/>
        <v>85</v>
      </c>
      <c r="J9">
        <f t="shared" ca="1" si="2"/>
        <v>65</v>
      </c>
      <c r="K9">
        <f t="shared" ca="1" si="3"/>
        <v>180</v>
      </c>
      <c r="L9" t="str">
        <f ca="1">IF(' Student _ Data'!K9&gt;120,"Pass","Fail")</f>
        <v>Pass</v>
      </c>
      <c r="M9" s="2">
        <f t="shared" ca="1" si="4"/>
        <v>53.166666666666664</v>
      </c>
      <c r="O9" s="1"/>
    </row>
    <row r="10" spans="1:15" x14ac:dyDescent="0.3">
      <c r="A10" t="s">
        <v>14</v>
      </c>
      <c r="C10" t="s">
        <v>38</v>
      </c>
      <c r="D10" t="s">
        <v>52</v>
      </c>
      <c r="E10">
        <v>9</v>
      </c>
      <c r="F10">
        <v>8</v>
      </c>
      <c r="G10" t="s">
        <v>25</v>
      </c>
      <c r="H10">
        <f t="shared" ca="1" si="0"/>
        <v>31</v>
      </c>
      <c r="I10">
        <f t="shared" ca="1" si="1"/>
        <v>59</v>
      </c>
      <c r="J10">
        <f t="shared" ca="1" si="2"/>
        <v>65</v>
      </c>
      <c r="K10">
        <f t="shared" ca="1" si="3"/>
        <v>155</v>
      </c>
      <c r="L10" t="str">
        <f ca="1">IF(' Student _ Data'!K10&gt;120,"Pass","Fail")</f>
        <v>Pass</v>
      </c>
      <c r="M10" s="2">
        <f t="shared" ca="1" si="4"/>
        <v>55.833333333333336</v>
      </c>
    </row>
    <row r="11" spans="1:15" x14ac:dyDescent="0.3">
      <c r="A11" t="s">
        <v>15</v>
      </c>
      <c r="C11" t="s">
        <v>39</v>
      </c>
      <c r="D11" t="s">
        <v>48</v>
      </c>
      <c r="E11">
        <v>9</v>
      </c>
      <c r="F11">
        <v>9</v>
      </c>
      <c r="G11" t="s">
        <v>25</v>
      </c>
      <c r="H11">
        <f t="shared" ca="1" si="0"/>
        <v>39</v>
      </c>
      <c r="I11">
        <f t="shared" ca="1" si="1"/>
        <v>58</v>
      </c>
      <c r="J11">
        <f t="shared" ca="1" si="2"/>
        <v>53</v>
      </c>
      <c r="K11">
        <f t="shared" ca="1" si="3"/>
        <v>150</v>
      </c>
      <c r="L11" t="str">
        <f ca="1">IF(' Student _ Data'!K11&gt;120,"Pass","Fail")</f>
        <v>Pass</v>
      </c>
      <c r="M11" s="2">
        <f t="shared" ca="1" si="4"/>
        <v>50.833333333333336</v>
      </c>
    </row>
    <row r="12" spans="1:15" x14ac:dyDescent="0.3">
      <c r="A12" t="s">
        <v>16</v>
      </c>
      <c r="C12" t="s">
        <v>40</v>
      </c>
      <c r="D12" t="s">
        <v>53</v>
      </c>
      <c r="E12">
        <v>9</v>
      </c>
      <c r="F12">
        <v>10</v>
      </c>
      <c r="G12" t="s">
        <v>24</v>
      </c>
      <c r="H12">
        <f t="shared" ca="1" si="0"/>
        <v>27</v>
      </c>
      <c r="I12">
        <f t="shared" ca="1" si="1"/>
        <v>89</v>
      </c>
      <c r="J12">
        <f t="shared" ca="1" si="2"/>
        <v>9</v>
      </c>
      <c r="K12">
        <f t="shared" ca="1" si="3"/>
        <v>125</v>
      </c>
      <c r="L12" t="str">
        <f ca="1">IF(' Student _ Data'!K12&gt;120,"Pass","Fail")</f>
        <v>Pass</v>
      </c>
      <c r="M12" s="2">
        <f t="shared" ca="1" si="4"/>
        <v>45.833333333333336</v>
      </c>
    </row>
    <row r="13" spans="1:15" x14ac:dyDescent="0.3">
      <c r="A13" t="s">
        <v>17</v>
      </c>
      <c r="C13" t="s">
        <v>41</v>
      </c>
      <c r="D13" t="s">
        <v>54</v>
      </c>
      <c r="E13">
        <v>9</v>
      </c>
      <c r="F13">
        <v>11</v>
      </c>
      <c r="G13" t="s">
        <v>23</v>
      </c>
      <c r="H13">
        <f t="shared" ca="1" si="0"/>
        <v>27</v>
      </c>
      <c r="I13">
        <f t="shared" ca="1" si="1"/>
        <v>53</v>
      </c>
      <c r="J13">
        <f t="shared" ca="1" si="2"/>
        <v>36</v>
      </c>
      <c r="K13">
        <f t="shared" ca="1" si="3"/>
        <v>116</v>
      </c>
      <c r="L13" t="str">
        <f ca="1">IF(' Student _ Data'!K13&gt;120,"Pass","Fail")</f>
        <v>Pass</v>
      </c>
      <c r="M13" s="2">
        <f t="shared" ca="1" si="4"/>
        <v>40.166666666666664</v>
      </c>
    </row>
    <row r="14" spans="1:15" x14ac:dyDescent="0.3">
      <c r="A14" t="s">
        <v>18</v>
      </c>
      <c r="C14" t="s">
        <v>42</v>
      </c>
      <c r="D14" t="s">
        <v>55</v>
      </c>
      <c r="E14">
        <v>9</v>
      </c>
      <c r="F14">
        <v>12</v>
      </c>
      <c r="G14" t="s">
        <v>24</v>
      </c>
      <c r="H14">
        <f t="shared" ca="1" si="0"/>
        <v>28</v>
      </c>
      <c r="I14">
        <f t="shared" ca="1" si="1"/>
        <v>50</v>
      </c>
      <c r="J14">
        <f t="shared" ca="1" si="2"/>
        <v>65</v>
      </c>
      <c r="K14">
        <f t="shared" ca="1" si="3"/>
        <v>143</v>
      </c>
      <c r="L14" t="str">
        <f ca="1">IF(' Student _ Data'!K14&gt;120,"Pass","Fail")</f>
        <v>Pass</v>
      </c>
      <c r="M14" s="2">
        <f t="shared" ca="1" si="4"/>
        <v>43.166666666666664</v>
      </c>
    </row>
    <row r="15" spans="1:15" x14ac:dyDescent="0.3">
      <c r="A15" t="s">
        <v>19</v>
      </c>
      <c r="C15" t="s">
        <v>43</v>
      </c>
      <c r="D15" t="s">
        <v>49</v>
      </c>
      <c r="E15">
        <v>9</v>
      </c>
      <c r="F15">
        <v>13</v>
      </c>
      <c r="G15" t="s">
        <v>26</v>
      </c>
      <c r="H15">
        <f t="shared" ca="1" si="0"/>
        <v>24</v>
      </c>
      <c r="I15">
        <f t="shared" ca="1" si="1"/>
        <v>56</v>
      </c>
      <c r="J15">
        <f t="shared" ca="1" si="2"/>
        <v>5</v>
      </c>
      <c r="K15">
        <f t="shared" ca="1" si="3"/>
        <v>85</v>
      </c>
      <c r="L15" t="str">
        <f ca="1">IF(' Student _ Data'!K15&gt;120,"Pass","Fail")</f>
        <v>Pass</v>
      </c>
      <c r="M15" s="2">
        <f t="shared" ca="1" si="4"/>
        <v>38</v>
      </c>
    </row>
    <row r="16" spans="1:15" x14ac:dyDescent="0.3">
      <c r="A16" t="s">
        <v>44</v>
      </c>
      <c r="C16" t="s">
        <v>45</v>
      </c>
      <c r="D16" t="s">
        <v>56</v>
      </c>
      <c r="E16">
        <v>9</v>
      </c>
      <c r="F16">
        <v>14</v>
      </c>
      <c r="G16" t="s">
        <v>23</v>
      </c>
      <c r="H16">
        <f t="shared" ca="1" si="0"/>
        <v>35</v>
      </c>
      <c r="I16">
        <f t="shared" ca="1" si="1"/>
        <v>64</v>
      </c>
      <c r="J16">
        <f t="shared" ca="1" si="2"/>
        <v>72</v>
      </c>
      <c r="K16">
        <f t="shared" ca="1" si="3"/>
        <v>171</v>
      </c>
      <c r="L16" t="str">
        <f ca="1">IF(' Student _ Data'!K16&gt;120,"Pass","Fail")</f>
        <v>Pass</v>
      </c>
      <c r="M16" s="2">
        <f t="shared" ca="1" si="4"/>
        <v>42.666666666666664</v>
      </c>
    </row>
    <row r="17" spans="1:13" x14ac:dyDescent="0.3">
      <c r="A17" t="s">
        <v>20</v>
      </c>
      <c r="C17" t="s">
        <v>46</v>
      </c>
      <c r="D17" t="s">
        <v>57</v>
      </c>
      <c r="E17">
        <v>9</v>
      </c>
      <c r="F17">
        <v>15</v>
      </c>
      <c r="G17" t="s">
        <v>22</v>
      </c>
      <c r="H17">
        <f t="shared" ca="1" si="0"/>
        <v>32</v>
      </c>
      <c r="I17">
        <f t="shared" ca="1" si="1"/>
        <v>60</v>
      </c>
      <c r="J17">
        <f t="shared" ca="1" si="2"/>
        <v>73</v>
      </c>
      <c r="K17">
        <f t="shared" ca="1" si="3"/>
        <v>165</v>
      </c>
      <c r="L17" t="str">
        <f ca="1">IF(' Student _ Data'!K17&gt;120,"Pass","Fail")</f>
        <v>Fail</v>
      </c>
      <c r="M17" s="2">
        <f t="shared" ca="1" si="4"/>
        <v>56</v>
      </c>
    </row>
    <row r="21" spans="1:13" x14ac:dyDescent="0.3">
      <c r="A21" s="8" t="s">
        <v>61</v>
      </c>
      <c r="B21" s="8"/>
      <c r="C21" s="7" t="s">
        <v>62</v>
      </c>
      <c r="D21" s="7"/>
    </row>
    <row r="22" spans="1:13" x14ac:dyDescent="0.3">
      <c r="A22" s="8">
        <f ca="1">MAX(K2:K17)</f>
        <v>180</v>
      </c>
      <c r="B22" s="8"/>
      <c r="C22" s="7">
        <f ca="1">MIN(K2:K17)</f>
        <v>85</v>
      </c>
      <c r="D22" s="7"/>
    </row>
  </sheetData>
  <mergeCells count="4">
    <mergeCell ref="A21:B21"/>
    <mergeCell ref="A22:B22"/>
    <mergeCell ref="C21:D21"/>
    <mergeCell ref="C22:D22"/>
  </mergeCells>
  <conditionalFormatting sqref="H1:J17">
    <cfRule type="cellIs" dxfId="15" priority="1" operator="lessThan">
      <formula>40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2C47-2CC6-4D56-98AB-F9CDE0914A7D}">
  <dimension ref="A1"/>
  <sheetViews>
    <sheetView topLeftCell="A8" workbookViewId="0">
      <selection activeCell="Q28" sqref="Q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Student _ Data</vt:lpstr>
      <vt:lpstr>Marks _ 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sahu</dc:creator>
  <cp:lastModifiedBy>AYUSH KUMAR</cp:lastModifiedBy>
  <dcterms:created xsi:type="dcterms:W3CDTF">2025-12-26T09:13:18Z</dcterms:created>
  <dcterms:modified xsi:type="dcterms:W3CDTF">2026-01-07T08:03:36Z</dcterms:modified>
</cp:coreProperties>
</file>