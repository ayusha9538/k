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tech_M\Ayush_kumar\Nals_Practical\"/>
    </mc:Choice>
  </mc:AlternateContent>
  <xr:revisionPtr revIDLastSave="0" documentId="8_{9D19AC9C-DF4C-4DF6-85AE-4AF877E71028}" xr6:coauthVersionLast="47" xr6:coauthVersionMax="47" xr10:uidLastSave="{00000000-0000-0000-0000-000000000000}"/>
  <bookViews>
    <workbookView xWindow="-108" yWindow="-108" windowWidth="23256" windowHeight="13896" activeTab="1" xr2:uid="{B474AAC3-4D7D-4320-ABD6-E03BE13E3D7A}"/>
  </bookViews>
  <sheets>
    <sheet name="Store_Sales" sheetId="1" r:id="rId1"/>
    <sheet name="Summary" sheetId="2" r:id="rId2"/>
    <sheet name="Charts" sheetId="3" r:id="rId3"/>
  </sheets>
  <definedNames>
    <definedName name="_xlnm._FilterDatabase" localSheetId="0" hidden="1">Store_Sales!$B$2:$B$10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J7" i="2"/>
  <c r="J8" i="2"/>
  <c r="J9" i="2"/>
  <c r="J5" i="2"/>
  <c r="F10" i="2"/>
  <c r="F9" i="2"/>
  <c r="F8" i="2"/>
  <c r="F7" i="2"/>
  <c r="F6" i="2"/>
  <c r="F5" i="2"/>
  <c r="F4" i="2"/>
  <c r="F3" i="2"/>
  <c r="K10" i="1"/>
  <c r="I10" i="1"/>
  <c r="M7" i="1"/>
  <c r="K7" i="1"/>
  <c r="I7" i="1"/>
  <c r="I4" i="1"/>
  <c r="F4" i="1"/>
  <c r="F5" i="1"/>
  <c r="F6" i="1"/>
  <c r="F7" i="1"/>
  <c r="F8" i="1"/>
  <c r="F9" i="1"/>
  <c r="F10" i="1"/>
  <c r="F3" i="1"/>
</calcChain>
</file>

<file path=xl/sharedStrings.xml><?xml version="1.0" encoding="utf-8"?>
<sst xmlns="http://schemas.openxmlformats.org/spreadsheetml/2006/main" count="70" uniqueCount="32">
  <si>
    <t>Date</t>
  </si>
  <si>
    <t>Product</t>
  </si>
  <si>
    <t>Category</t>
  </si>
  <si>
    <t>Quantity</t>
  </si>
  <si>
    <t>Price</t>
  </si>
  <si>
    <t>Total Sales</t>
  </si>
  <si>
    <t>Headphones</t>
  </si>
  <si>
    <t>Electronics</t>
  </si>
  <si>
    <t>Mouse</t>
  </si>
  <si>
    <t>Keyboard</t>
  </si>
  <si>
    <t>Notebook</t>
  </si>
  <si>
    <t>Stationery</t>
  </si>
  <si>
    <t>Pen Drive</t>
  </si>
  <si>
    <t>Pen</t>
  </si>
  <si>
    <t>Store_Sales sheet</t>
  </si>
  <si>
    <t>Total sale of headphone</t>
  </si>
  <si>
    <t>3 letter of headphone</t>
  </si>
  <si>
    <t xml:space="preserve">2 letter of category </t>
  </si>
  <si>
    <t>mid of product</t>
  </si>
  <si>
    <t xml:space="preserve">Lowest sale </t>
  </si>
  <si>
    <t>month</t>
  </si>
  <si>
    <t>18/2/2025</t>
  </si>
  <si>
    <t>13/3/2025</t>
  </si>
  <si>
    <t>january</t>
  </si>
  <si>
    <t>may</t>
  </si>
  <si>
    <t>december</t>
  </si>
  <si>
    <t>april</t>
  </si>
  <si>
    <t>october</t>
  </si>
  <si>
    <t>march</t>
  </si>
  <si>
    <t>jauary</t>
  </si>
  <si>
    <t>sale</t>
  </si>
  <si>
    <t>Highest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</si>
</sst>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0" fillId="0" borderId="6" xfId="0" applyBorder="1"/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0" fillId="0" borderId="10" xfId="0" applyBorder="1"/>
    <xf numFmtId="0" fontId="0" fillId="0" borderId="6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wise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Summary!$J$4</c:f>
              <c:strCache>
                <c:ptCount val="1"/>
                <c:pt idx="0">
                  <c:v>sale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Summary!$I$5:$I$9</c:f>
              <c:strCache>
                <c:ptCount val="5"/>
                <c:pt idx="0">
                  <c:v>jauary</c:v>
                </c:pt>
                <c:pt idx="1">
                  <c:v>may</c:v>
                </c:pt>
                <c:pt idx="2">
                  <c:v>december</c:v>
                </c:pt>
                <c:pt idx="3">
                  <c:v>april</c:v>
                </c:pt>
                <c:pt idx="4">
                  <c:v>october</c:v>
                </c:pt>
              </c:strCache>
            </c:strRef>
          </c:cat>
          <c:val>
            <c:numRef>
              <c:f>Summary!$J$5:$J$9</c:f>
              <c:numCache>
                <c:formatCode>General</c:formatCode>
                <c:ptCount val="5"/>
                <c:pt idx="0">
                  <c:v>42800</c:v>
                </c:pt>
                <c:pt idx="1">
                  <c:v>37800</c:v>
                </c:pt>
                <c:pt idx="2">
                  <c:v>32800</c:v>
                </c:pt>
                <c:pt idx="3">
                  <c:v>25300</c:v>
                </c:pt>
                <c:pt idx="4">
                  <c:v>16900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EB-4FEE-B960-8F12371D8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40848336"/>
        <c:axId val="144073504"/>
      </c:lineChart>
      <c:catAx>
        <c:axId val="14084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3504"/>
        <c:crosses val="autoZero"/>
        <c:auto val="1"/>
        <c:lblAlgn val="ctr"/>
        <c:lblOffset val="100"/>
        <c:noMultiLvlLbl val="0"/>
      </c:catAx>
      <c:valAx>
        <c:axId val="14407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4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1</xdr:row>
      <xdr:rowOff>121920</xdr:rowOff>
    </xdr:from>
    <xdr:to>
      <xdr:col>8</xdr:col>
      <xdr:colOff>373380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869BF7-1A28-40C6-949E-0D4427997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CF7C57-5C08-408D-83B9-DAC6259882AE}" name="Table3" displayName="Table3" ref="A2:F10" totalsRowShown="0" headerRowDxfId="0" dataDxfId="1" headerRowBorderDxfId="9" tableBorderDxfId="10" totalsRowBorderDxfId="8">
  <autoFilter ref="A2:F10" xr:uid="{6FCF7C57-5C08-408D-83B9-DAC6259882AE}"/>
  <tableColumns count="6">
    <tableColumn id="1" xr3:uid="{2D267DB1-2099-4EE3-A0D0-F99D95285F11}" name="Date" dataDxfId="7"/>
    <tableColumn id="2" xr3:uid="{C54A73DF-0F64-4AC9-B08D-147B79B90586}" name="Product" dataDxfId="6"/>
    <tableColumn id="3" xr3:uid="{94EA9693-87AF-4D46-BF78-197468ADD405}" name="Category" dataDxfId="5"/>
    <tableColumn id="4" xr3:uid="{72E7035C-80BA-4FDF-ABFF-F6B2A57E27EB}" name="Quantity" dataDxfId="4"/>
    <tableColumn id="5" xr3:uid="{122D5FB4-C3CD-46BD-9C55-CC790F695652}" name="Price" dataDxfId="3"/>
    <tableColumn id="6" xr3:uid="{40A369BA-C11E-4653-B8EB-636B32E3D447}" name="Total Sales" dataDxfId="2">
      <calculatedColumnFormula>D3*E3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DC62A9-C74F-487A-B25A-804BE09478CE}" name="Table2" displayName="Table2" ref="A2:G10" totalsRowShown="0" headerRowDxfId="11" dataDxfId="12" headerRowBorderDxfId="21" tableBorderDxfId="22" totalsRowBorderDxfId="20">
  <autoFilter ref="A2:G10" xr:uid="{46DC62A9-C74F-487A-B25A-804BE09478CE}"/>
  <tableColumns count="7">
    <tableColumn id="1" xr3:uid="{91D0AC2B-4114-4642-B94D-10A65277182F}" name="Date" dataDxfId="19"/>
    <tableColumn id="2" xr3:uid="{C7949AB9-D29F-4E5A-B1A7-556B2FBDFD2E}" name="Product" dataDxfId="18"/>
    <tableColumn id="3" xr3:uid="{BBC9C545-0880-45C8-8521-D99428EBF7E4}" name="Category" dataDxfId="17"/>
    <tableColumn id="4" xr3:uid="{8475E774-0508-4EDA-BB4A-6BAD2E67399C}" name="Quantity" dataDxfId="16"/>
    <tableColumn id="5" xr3:uid="{0C6A6B2C-6740-4C50-8A7F-86027FE7728B}" name="Price" dataDxfId="15"/>
    <tableColumn id="6" xr3:uid="{33339C0D-8C62-40A3-9A90-8FFB230AEE28}" name="Total Sales" dataDxfId="14">
      <calculatedColumnFormula>D3*E3</calculatedColumnFormula>
    </tableColumn>
    <tableColumn id="7" xr3:uid="{8F8CA8E0-055D-44AA-8683-E17AC1C70CB1}" name="month" dataDxfId="1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ACAE-40F6-4E59-B33A-3162CB80D958}">
  <dimension ref="A1:N10"/>
  <sheetViews>
    <sheetView workbookViewId="0">
      <selection activeCell="K10" sqref="K10:L10"/>
    </sheetView>
  </sheetViews>
  <sheetFormatPr defaultRowHeight="14.4" x14ac:dyDescent="0.3"/>
  <cols>
    <col min="1" max="6" width="15.44140625" customWidth="1"/>
  </cols>
  <sheetData>
    <row r="1" spans="1:14" ht="30.45" customHeight="1" x14ac:dyDescent="0.3">
      <c r="A1" s="3" t="s">
        <v>14</v>
      </c>
      <c r="B1" s="3"/>
      <c r="C1" s="3"/>
      <c r="D1" s="3"/>
      <c r="E1" s="3"/>
      <c r="F1" s="4"/>
    </row>
    <row r="2" spans="1:14" ht="28.05" customHeight="1" x14ac:dyDescent="0.3">
      <c r="A2" s="15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21" t="s">
        <v>5</v>
      </c>
    </row>
    <row r="3" spans="1:14" ht="30.45" customHeight="1" x14ac:dyDescent="0.3">
      <c r="A3" s="13">
        <v>45658</v>
      </c>
      <c r="B3" s="2" t="s">
        <v>6</v>
      </c>
      <c r="C3" s="2" t="s">
        <v>7</v>
      </c>
      <c r="D3" s="2">
        <v>5</v>
      </c>
      <c r="E3" s="2">
        <v>1000</v>
      </c>
      <c r="F3" s="20">
        <f>D3*E3</f>
        <v>5000</v>
      </c>
      <c r="I3" s="5" t="s">
        <v>15</v>
      </c>
      <c r="J3" s="6"/>
      <c r="K3" s="6"/>
    </row>
    <row r="4" spans="1:14" ht="25.05" customHeight="1" x14ac:dyDescent="0.3">
      <c r="A4" s="13">
        <v>45662</v>
      </c>
      <c r="B4" s="2" t="s">
        <v>8</v>
      </c>
      <c r="C4" s="2" t="s">
        <v>7</v>
      </c>
      <c r="D4" s="2">
        <v>10</v>
      </c>
      <c r="E4" s="2">
        <v>500</v>
      </c>
      <c r="F4" s="20">
        <f t="shared" ref="F4:F10" si="0">D4*E4</f>
        <v>5000</v>
      </c>
      <c r="I4" s="7">
        <f>SUMIF(B3:B10,B3,E3:E10)</f>
        <v>4000</v>
      </c>
      <c r="J4" s="7"/>
      <c r="K4" s="7"/>
    </row>
    <row r="5" spans="1:14" ht="25.05" customHeight="1" x14ac:dyDescent="0.3">
      <c r="A5" s="13">
        <v>45658</v>
      </c>
      <c r="B5" s="2" t="s">
        <v>6</v>
      </c>
      <c r="C5" s="2" t="s">
        <v>7</v>
      </c>
      <c r="D5" s="2">
        <v>5</v>
      </c>
      <c r="E5" s="2">
        <v>1500</v>
      </c>
      <c r="F5" s="20">
        <f t="shared" si="0"/>
        <v>7500</v>
      </c>
    </row>
    <row r="6" spans="1:14" ht="25.05" customHeight="1" x14ac:dyDescent="0.3">
      <c r="A6" s="13">
        <v>45700</v>
      </c>
      <c r="B6" s="2" t="s">
        <v>9</v>
      </c>
      <c r="C6" s="2" t="s">
        <v>7</v>
      </c>
      <c r="D6" s="2">
        <v>7</v>
      </c>
      <c r="E6" s="2">
        <v>1200</v>
      </c>
      <c r="F6" s="20">
        <f t="shared" si="0"/>
        <v>8400</v>
      </c>
      <c r="I6" s="8" t="s">
        <v>16</v>
      </c>
      <c r="J6" s="8"/>
      <c r="K6" s="8" t="s">
        <v>17</v>
      </c>
      <c r="L6" s="8"/>
      <c r="M6" s="8" t="s">
        <v>18</v>
      </c>
      <c r="N6" s="7"/>
    </row>
    <row r="7" spans="1:14" ht="25.05" customHeight="1" x14ac:dyDescent="0.3">
      <c r="A7" s="13" t="s">
        <v>21</v>
      </c>
      <c r="B7" s="2" t="s">
        <v>10</v>
      </c>
      <c r="C7" s="2" t="s">
        <v>11</v>
      </c>
      <c r="D7" s="2">
        <v>20</v>
      </c>
      <c r="E7" s="2">
        <v>100</v>
      </c>
      <c r="F7" s="20">
        <f t="shared" si="0"/>
        <v>2000</v>
      </c>
      <c r="I7" s="7" t="str">
        <f>LEFT(B3,3)</f>
        <v>Hea</v>
      </c>
      <c r="J7" s="7"/>
      <c r="K7" s="7" t="str">
        <f>RIGHT(C3,2)</f>
        <v>cs</v>
      </c>
      <c r="L7" s="7"/>
      <c r="M7" s="7" t="str">
        <f>MID(B3,3,2)</f>
        <v>ad</v>
      </c>
      <c r="N7" s="7"/>
    </row>
    <row r="8" spans="1:14" ht="25.05" customHeight="1" x14ac:dyDescent="0.3">
      <c r="A8" s="13">
        <v>45726</v>
      </c>
      <c r="B8" s="2" t="s">
        <v>12</v>
      </c>
      <c r="C8" s="2" t="s">
        <v>7</v>
      </c>
      <c r="D8" s="2">
        <v>8</v>
      </c>
      <c r="E8" s="2">
        <v>800</v>
      </c>
      <c r="F8" s="20">
        <f t="shared" si="0"/>
        <v>6400</v>
      </c>
    </row>
    <row r="9" spans="1:14" ht="25.05" customHeight="1" x14ac:dyDescent="0.3">
      <c r="A9" s="13">
        <v>45738</v>
      </c>
      <c r="B9" s="2" t="s">
        <v>13</v>
      </c>
      <c r="C9" s="2" t="s">
        <v>11</v>
      </c>
      <c r="D9" s="2">
        <v>50</v>
      </c>
      <c r="E9" s="2">
        <v>20</v>
      </c>
      <c r="F9" s="20">
        <f t="shared" si="0"/>
        <v>1000</v>
      </c>
      <c r="I9" s="8" t="s">
        <v>31</v>
      </c>
      <c r="J9" s="7"/>
      <c r="K9" s="8" t="s">
        <v>19</v>
      </c>
      <c r="L9" s="8"/>
    </row>
    <row r="10" spans="1:14" ht="25.05" customHeight="1" x14ac:dyDescent="0.3">
      <c r="A10" s="18">
        <v>45658</v>
      </c>
      <c r="B10" s="11" t="s">
        <v>6</v>
      </c>
      <c r="C10" s="11" t="s">
        <v>7</v>
      </c>
      <c r="D10" s="11">
        <v>5</v>
      </c>
      <c r="E10" s="11">
        <v>1500</v>
      </c>
      <c r="F10" s="22">
        <f t="shared" si="0"/>
        <v>7500</v>
      </c>
      <c r="I10" s="7">
        <f>MAX(F3:F10)</f>
        <v>8400</v>
      </c>
      <c r="J10" s="7"/>
      <c r="K10" s="7">
        <f>MIN(F3:F10)</f>
        <v>1000</v>
      </c>
      <c r="L10" s="7"/>
    </row>
  </sheetData>
  <sortState xmlns:xlrd2="http://schemas.microsoft.com/office/spreadsheetml/2017/richdata2" ref="A3:F9">
    <sortCondition ref="A3:A9"/>
  </sortState>
  <mergeCells count="13">
    <mergeCell ref="K6:L6"/>
    <mergeCell ref="K7:L7"/>
    <mergeCell ref="M6:N6"/>
    <mergeCell ref="M7:N7"/>
    <mergeCell ref="I9:J9"/>
    <mergeCell ref="K9:L9"/>
    <mergeCell ref="A1:F1"/>
    <mergeCell ref="I3:K3"/>
    <mergeCell ref="I4:K4"/>
    <mergeCell ref="I6:J6"/>
    <mergeCell ref="I7:J7"/>
    <mergeCell ref="I10:J10"/>
    <mergeCell ref="K10:L1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9273-2016-4D9C-B6C7-ED891D7191F5}">
  <dimension ref="A1:J10"/>
  <sheetViews>
    <sheetView tabSelected="1" workbookViewId="0">
      <selection activeCell="I2" sqref="I2"/>
    </sheetView>
  </sheetViews>
  <sheetFormatPr defaultRowHeight="14.4" x14ac:dyDescent="0.3"/>
  <cols>
    <col min="1" max="1" width="11.77734375" customWidth="1"/>
    <col min="2" max="2" width="14.33203125" customWidth="1"/>
    <col min="3" max="3" width="13.6640625" customWidth="1"/>
    <col min="4" max="4" width="11.77734375" customWidth="1"/>
    <col min="6" max="6" width="14.21875" customWidth="1"/>
    <col min="7" max="7" width="9.77734375" customWidth="1"/>
  </cols>
  <sheetData>
    <row r="1" spans="1:10" ht="23.4" x14ac:dyDescent="0.3">
      <c r="A1" s="3" t="s">
        <v>14</v>
      </c>
      <c r="B1" s="3"/>
      <c r="C1" s="3"/>
      <c r="D1" s="3"/>
      <c r="E1" s="3"/>
      <c r="F1" s="4"/>
    </row>
    <row r="2" spans="1:10" ht="36" x14ac:dyDescent="0.3">
      <c r="A2" s="15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7" t="s">
        <v>20</v>
      </c>
    </row>
    <row r="3" spans="1:10" ht="15.6" x14ac:dyDescent="0.3">
      <c r="A3" s="13">
        <v>45658</v>
      </c>
      <c r="B3" s="2" t="s">
        <v>6</v>
      </c>
      <c r="C3" s="2" t="s">
        <v>7</v>
      </c>
      <c r="D3" s="2">
        <v>5</v>
      </c>
      <c r="E3" s="2">
        <v>1000</v>
      </c>
      <c r="F3" s="1">
        <f>D3*E3</f>
        <v>5000</v>
      </c>
      <c r="G3" s="14" t="s">
        <v>23</v>
      </c>
    </row>
    <row r="4" spans="1:10" ht="23.4" customHeight="1" x14ac:dyDescent="0.3">
      <c r="A4" s="13">
        <v>45662</v>
      </c>
      <c r="B4" s="2" t="s">
        <v>8</v>
      </c>
      <c r="C4" s="2" t="s">
        <v>7</v>
      </c>
      <c r="D4" s="2">
        <v>10</v>
      </c>
      <c r="E4" s="2">
        <v>500</v>
      </c>
      <c r="F4" s="1">
        <f t="shared" ref="F4:F10" si="0">D4*E4</f>
        <v>5000</v>
      </c>
      <c r="G4" s="14" t="s">
        <v>24</v>
      </c>
      <c r="I4" s="10" t="s">
        <v>20</v>
      </c>
      <c r="J4" s="10" t="s">
        <v>30</v>
      </c>
    </row>
    <row r="5" spans="1:10" ht="15.6" x14ac:dyDescent="0.3">
      <c r="A5" s="13">
        <v>45658</v>
      </c>
      <c r="B5" s="2" t="s">
        <v>6</v>
      </c>
      <c r="C5" s="2" t="s">
        <v>7</v>
      </c>
      <c r="D5" s="2">
        <v>5</v>
      </c>
      <c r="E5" s="2">
        <v>1500</v>
      </c>
      <c r="F5" s="1">
        <f t="shared" si="0"/>
        <v>7500</v>
      </c>
      <c r="G5" s="14" t="s">
        <v>23</v>
      </c>
      <c r="I5" s="9" t="s">
        <v>29</v>
      </c>
      <c r="J5" s="9">
        <f>SUM(F3:F10,G3)</f>
        <v>42800</v>
      </c>
    </row>
    <row r="6" spans="1:10" ht="15.6" x14ac:dyDescent="0.3">
      <c r="A6" s="13">
        <v>45700</v>
      </c>
      <c r="B6" s="2" t="s">
        <v>9</v>
      </c>
      <c r="C6" s="2" t="s">
        <v>7</v>
      </c>
      <c r="D6" s="2">
        <v>7</v>
      </c>
      <c r="E6" s="2">
        <v>1200</v>
      </c>
      <c r="F6" s="1">
        <f t="shared" si="0"/>
        <v>8400</v>
      </c>
      <c r="G6" s="14" t="s">
        <v>25</v>
      </c>
      <c r="I6" s="9" t="s">
        <v>24</v>
      </c>
      <c r="J6" s="9">
        <f t="shared" ref="J6:J9" si="1">SUM(F4:F11,G4)</f>
        <v>37800</v>
      </c>
    </row>
    <row r="7" spans="1:10" ht="24" customHeight="1" x14ac:dyDescent="0.3">
      <c r="A7" s="13">
        <v>45781</v>
      </c>
      <c r="B7" s="2" t="s">
        <v>10</v>
      </c>
      <c r="C7" s="2" t="s">
        <v>11</v>
      </c>
      <c r="D7" s="2">
        <v>20</v>
      </c>
      <c r="E7" s="2">
        <v>100</v>
      </c>
      <c r="F7" s="1">
        <f t="shared" si="0"/>
        <v>2000</v>
      </c>
      <c r="G7" s="14" t="s">
        <v>26</v>
      </c>
      <c r="I7" s="9" t="s">
        <v>25</v>
      </c>
      <c r="J7" s="9">
        <f t="shared" si="1"/>
        <v>32800</v>
      </c>
    </row>
    <row r="8" spans="1:10" ht="15.6" x14ac:dyDescent="0.3">
      <c r="A8" s="13">
        <v>45726</v>
      </c>
      <c r="B8" s="2" t="s">
        <v>12</v>
      </c>
      <c r="C8" s="2" t="s">
        <v>7</v>
      </c>
      <c r="D8" s="2">
        <v>8</v>
      </c>
      <c r="E8" s="2">
        <v>800</v>
      </c>
      <c r="F8" s="1">
        <f t="shared" si="0"/>
        <v>6400</v>
      </c>
      <c r="G8" s="14" t="s">
        <v>27</v>
      </c>
      <c r="I8" s="9" t="s">
        <v>26</v>
      </c>
      <c r="J8" s="9">
        <f t="shared" si="1"/>
        <v>25300</v>
      </c>
    </row>
    <row r="9" spans="1:10" ht="24.6" customHeight="1" x14ac:dyDescent="0.3">
      <c r="A9" s="13" t="s">
        <v>22</v>
      </c>
      <c r="B9" s="2" t="s">
        <v>13</v>
      </c>
      <c r="C9" s="2" t="s">
        <v>11</v>
      </c>
      <c r="D9" s="2">
        <v>50</v>
      </c>
      <c r="E9" s="2">
        <v>20</v>
      </c>
      <c r="F9" s="1">
        <f t="shared" si="0"/>
        <v>1000</v>
      </c>
      <c r="G9" s="14" t="s">
        <v>28</v>
      </c>
      <c r="I9" s="9" t="s">
        <v>27</v>
      </c>
      <c r="J9" s="9">
        <f t="shared" si="1"/>
        <v>16900</v>
      </c>
    </row>
    <row r="10" spans="1:10" ht="15.6" x14ac:dyDescent="0.3">
      <c r="A10" s="18">
        <v>45658</v>
      </c>
      <c r="B10" s="11" t="s">
        <v>6</v>
      </c>
      <c r="C10" s="11" t="s">
        <v>7</v>
      </c>
      <c r="D10" s="11">
        <v>5</v>
      </c>
      <c r="E10" s="11">
        <v>1500</v>
      </c>
      <c r="F10" s="12">
        <f t="shared" si="0"/>
        <v>7500</v>
      </c>
      <c r="G10" s="19" t="s">
        <v>23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F5EE-4F1E-43C4-BE3E-0977FB3A4D38}">
  <dimension ref="A1"/>
  <sheetViews>
    <sheetView workbookViewId="0">
      <selection activeCell="M9" sqref="M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Store_Sales</vt:lpstr>
      <vt:lpstr>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Firdaush Jahan</dc:creator>
  <cp:lastModifiedBy>AYUSH KUMAR</cp:lastModifiedBy>
  <dcterms:created xsi:type="dcterms:W3CDTF">2025-12-29T17:36:34Z</dcterms:created>
  <dcterms:modified xsi:type="dcterms:W3CDTF">2026-01-07T08:01:52Z</dcterms:modified>
</cp:coreProperties>
</file>